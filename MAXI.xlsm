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MAXI Fair 2018\"/>
    </mc:Choice>
  </mc:AlternateContent>
  <bookViews>
    <workbookView xWindow="0" yWindow="0" windowWidth="28800" windowHeight="12300"/>
  </bookViews>
  <sheets>
    <sheet name="Sheet1" sheetId="1" r:id="rId1"/>
    <sheet name="Sheet2" sheetId="2" r:id="rId2"/>
    <sheet name="Sheet3" sheetId="3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0" i="1" l="1"/>
  <c r="BF7" i="1"/>
  <c r="BF6" i="1"/>
  <c r="BF5" i="1"/>
  <c r="BF4" i="1"/>
  <c r="BF8" i="1"/>
  <c r="BF3" i="1"/>
  <c r="BF2" i="1"/>
  <c r="BB26" i="1"/>
  <c r="A7" i="2" l="1"/>
  <c r="A6" i="2"/>
  <c r="A5" i="2"/>
  <c r="A4" i="2"/>
  <c r="A3" i="2"/>
  <c r="O3" i="1" l="1"/>
  <c r="U3" i="1"/>
  <c r="T3" i="1"/>
  <c r="S3" i="1"/>
  <c r="R3" i="1"/>
  <c r="Q3" i="1"/>
  <c r="P3" i="1"/>
  <c r="V3" i="1" l="1"/>
</calcChain>
</file>

<file path=xl/sharedStrings.xml><?xml version="1.0" encoding="utf-8"?>
<sst xmlns="http://schemas.openxmlformats.org/spreadsheetml/2006/main" count="177" uniqueCount="56">
  <si>
    <t>Gender</t>
  </si>
  <si>
    <t>Male</t>
  </si>
  <si>
    <t>Female</t>
  </si>
  <si>
    <t>Marital Staus</t>
  </si>
  <si>
    <t>Education</t>
  </si>
  <si>
    <t>Checks</t>
  </si>
  <si>
    <t>Single</t>
  </si>
  <si>
    <t>Married</t>
  </si>
  <si>
    <t>Graduate</t>
  </si>
  <si>
    <t>Non-Graduate</t>
  </si>
  <si>
    <t>Can drive?</t>
  </si>
  <si>
    <t>Accompanied by child below 15  years?</t>
  </si>
  <si>
    <t>Reads Hindi Newspaper?</t>
  </si>
  <si>
    <t>Age</t>
  </si>
  <si>
    <t>SEC (Socio Economic Condition)</t>
  </si>
  <si>
    <t>Electricity</t>
  </si>
  <si>
    <t>Ceiling Fan</t>
  </si>
  <si>
    <t>LPG Stove</t>
  </si>
  <si>
    <t>Two Wheeler</t>
  </si>
  <si>
    <t>Color TV</t>
  </si>
  <si>
    <t>Refrigerator</t>
  </si>
  <si>
    <t>Washing Machine</t>
  </si>
  <si>
    <t>PC Laptop</t>
  </si>
  <si>
    <t>Four Wheeler</t>
  </si>
  <si>
    <t>AC</t>
  </si>
  <si>
    <t>Agricultural Land</t>
  </si>
  <si>
    <t>SEC</t>
  </si>
  <si>
    <t>Games Allocated</t>
  </si>
  <si>
    <t>MAXI-Fair Dashboard</t>
  </si>
  <si>
    <t>A</t>
  </si>
  <si>
    <t>B</t>
  </si>
  <si>
    <t>C</t>
  </si>
  <si>
    <t>D</t>
  </si>
  <si>
    <t>F</t>
  </si>
  <si>
    <t>as</t>
  </si>
  <si>
    <t>wr</t>
  </si>
  <si>
    <t>fa</t>
  </si>
  <si>
    <t>a</t>
  </si>
  <si>
    <t>2sad</t>
  </si>
  <si>
    <t>sfdaa</t>
  </si>
  <si>
    <t>ASD</t>
  </si>
  <si>
    <t>Use Internet on Smartphone or computer?</t>
  </si>
  <si>
    <t>UID</t>
  </si>
  <si>
    <t>ACF</t>
  </si>
  <si>
    <t>ABC</t>
  </si>
  <si>
    <t/>
  </si>
  <si>
    <t>15xxx</t>
  </si>
  <si>
    <t>BC</t>
  </si>
  <si>
    <t>AB</t>
  </si>
  <si>
    <t>ABCF</t>
  </si>
  <si>
    <t>Has consumed freshly prepared / packaged juice in last one month?</t>
  </si>
  <si>
    <t>Aware of Hair Dryers (Female) / Beard Trimmer?</t>
  </si>
  <si>
    <t>Reads Hindi / English?</t>
  </si>
  <si>
    <t>E1</t>
  </si>
  <si>
    <t>E2</t>
  </si>
  <si>
    <t>Has Consumed freshly prepared / packaged juice in lastone month?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</si>
</sst>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1"/>
      <color theme="1"/>
      <name val="Wingdings 3"/>
      <family val="1"/>
      <charset val="2"/>
    </font>
    <font>
      <b/>
      <sz val="18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Border="1"/>
    <xf numFmtId="0" fontId="0" fillId="0" borderId="0" xfId="0" applyBorder="1" applyAlignment="1">
      <alignment horizontal="center"/>
    </xf>
    <xf numFmtId="0" fontId="0" fillId="2" borderId="0" xfId="0" applyFill="1" applyBorder="1"/>
    <xf numFmtId="0" fontId="0" fillId="3" borderId="0" xfId="0" applyFill="1" applyBorder="1"/>
    <xf numFmtId="0" fontId="2" fillId="0" borderId="0" xfId="0" applyFont="1" applyFill="1" applyBorder="1"/>
    <xf numFmtId="0" fontId="1" fillId="0" borderId="0" xfId="0" applyFont="1" applyBorder="1"/>
    <xf numFmtId="0" fontId="3" fillId="4" borderId="0" xfId="0" applyFont="1" applyFill="1" applyBorder="1" applyAlignment="1">
      <alignment horizontal="center" wrapText="1"/>
    </xf>
    <xf numFmtId="0" fontId="0" fillId="3" borderId="0" xfId="0" applyFill="1" applyBorder="1" applyAlignment="1">
      <alignment wrapText="1"/>
    </xf>
    <xf numFmtId="0" fontId="0" fillId="0" borderId="0" xfId="0" applyFill="1" applyBorder="1" applyAlignment="1">
      <alignment horizontal="center"/>
    </xf>
    <xf numFmtId="0" fontId="0" fillId="0" borderId="0" xfId="0" applyBorder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fmlaLink="$BC$10" lockText="1" noThreeD="1"/>
</file>

<file path=xl/ctrlProps/ctrlProp2.xml><?xml version="1.0" encoding="utf-8"?>
<formControlPr xmlns="http://schemas.microsoft.com/office/spreadsheetml/2009/9/main" objectType="CheckBox" checked="Checked" fmlaLink="$BC$11" lockText="1" noThreeD="1"/>
</file>

<file path=xl/ctrlProps/ctrlProp3.xml><?xml version="1.0" encoding="utf-8"?>
<formControlPr xmlns="http://schemas.microsoft.com/office/spreadsheetml/2009/9/main" objectType="CheckBox" checked="Checked" fmlaLink="$BC$12" lockText="1" noThreeD="1"/>
</file>

<file path=xl/ctrlProps/ctrlProp4.xml><?xml version="1.0" encoding="utf-8"?>
<formControlPr xmlns="http://schemas.microsoft.com/office/spreadsheetml/2009/9/main" objectType="CheckBox" checked="Checked" fmlaLink="$BC$14" lockText="1" noThreeD="1"/>
</file>

<file path=xl/ctrlProps/ctrlProp5.xml><?xml version="1.0" encoding="utf-8"?>
<formControlPr xmlns="http://schemas.microsoft.com/office/spreadsheetml/2009/9/main" objectType="CheckBox" checked="Checked" fmlaLink="$BC$15" lockText="1" noThreeD="1"/>
</file>

<file path=xl/ctrlProps/ctrlProp6.xml><?xml version="1.0" encoding="utf-8"?>
<formControlPr xmlns="http://schemas.microsoft.com/office/spreadsheetml/2009/9/main" objectType="CheckBox" checked="Checked" fmlaLink="$BC$16" lockText="1" noThreeD="1"/>
</file>

<file path=xl/ctrlProps/ctrlProp7.xml><?xml version="1.0" encoding="utf-8"?>
<formControlPr xmlns="http://schemas.microsoft.com/office/spreadsheetml/2009/9/main" objectType="CheckBox" checked="Checked" fmlaLink="$BC$17" lockText="1" noThreeD="1"/>
</file>

<file path=xl/ctrlProps/ctrlProp8.xml><?xml version="1.0" encoding="utf-8"?>
<formControlPr xmlns="http://schemas.microsoft.com/office/spreadsheetml/2009/9/main" objectType="CheckBox" checked="Checked" fmlaLink="$BC$18" lockText="1" noThreeD="1"/>
</file>

<file path=xl/ctrlProps/ctrlProp9.xml><?xml version="1.0" encoding="utf-8"?>
<formControlPr xmlns="http://schemas.microsoft.com/office/spreadsheetml/2009/9/main" objectType="CheckBox" checked="Checked" fmlaLink="$BC$19" lockText="1" noThreeD="1"/>
</file>

<file path=xl/ctrlProps/ctrlProp10.xml><?xml version="1.0" encoding="utf-8"?>
<formControlPr xmlns="http://schemas.microsoft.com/office/spreadsheetml/2009/9/main" objectType="CheckBox" checked="Checked" fmlaLink="$BC$20" lockText="1" noThreeD="1"/>
</file>

<file path=xl/ctrlProps/ctrlProp11.xml><?xml version="1.0" encoding="utf-8"?>
<formControlPr xmlns="http://schemas.microsoft.com/office/spreadsheetml/2009/9/main" objectType="CheckBox" fmlaLink="$BC$21" lockText="1" noThreeD="1"/>
</file>

<file path=xl/ctrlProps/ctrlProp12.xml><?xml version="1.0" encoding="utf-8"?>
<formControlPr xmlns="http://schemas.microsoft.com/office/spreadsheetml/2009/9/main" objectType="CheckBox" checked="Checked" fmlaLink="$BC$22" lockText="1" noThreeD="1"/>
</file>

<file path=xl/ctrlProps/ctrlProp13.xml><?xml version="1.0" encoding="utf-8"?>
<formControlPr xmlns="http://schemas.microsoft.com/office/spreadsheetml/2009/9/main" objectType="CheckBox" checked="Checked" fmlaLink="$BC$23" lockText="1" noThreeD="1"/>
</file>

<file path=xl/ctrlProps/ctrlProp14.xml><?xml version="1.0" encoding="utf-8"?>
<formControlPr xmlns="http://schemas.microsoft.com/office/spreadsheetml/2009/9/main" objectType="CheckBox" fmlaLink="$BC$24" lockText="1" noThreeD="1"/>
</file>

<file path=xl/ctrlProps/ctrlProp15.xml><?xml version="1.0" encoding="utf-8"?>
<formControlPr xmlns="http://schemas.microsoft.com/office/spreadsheetml/2009/9/main" objectType="CheckBox" checked="Checked" fmlaLink="$BC$13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352425</xdr:colOff>
          <xdr:row>8</xdr:row>
          <xdr:rowOff>9525</xdr:rowOff>
        </xdr:from>
        <xdr:to>
          <xdr:col>3</xdr:col>
          <xdr:colOff>2114550</xdr:colOff>
          <xdr:row>8</xdr:row>
          <xdr:rowOff>200025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352425</xdr:colOff>
          <xdr:row>9</xdr:row>
          <xdr:rowOff>0</xdr:rowOff>
        </xdr:from>
        <xdr:to>
          <xdr:col>3</xdr:col>
          <xdr:colOff>2038350</xdr:colOff>
          <xdr:row>9</xdr:row>
          <xdr:rowOff>200025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352425</xdr:colOff>
          <xdr:row>10</xdr:row>
          <xdr:rowOff>19050</xdr:rowOff>
        </xdr:from>
        <xdr:to>
          <xdr:col>3</xdr:col>
          <xdr:colOff>2105025</xdr:colOff>
          <xdr:row>11</xdr:row>
          <xdr:rowOff>9525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352425</xdr:colOff>
          <xdr:row>14</xdr:row>
          <xdr:rowOff>9525</xdr:rowOff>
        </xdr:from>
        <xdr:to>
          <xdr:col>3</xdr:col>
          <xdr:colOff>2114550</xdr:colOff>
          <xdr:row>15</xdr:row>
          <xdr:rowOff>9525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352425</xdr:colOff>
          <xdr:row>15</xdr:row>
          <xdr:rowOff>9525</xdr:rowOff>
        </xdr:from>
        <xdr:to>
          <xdr:col>3</xdr:col>
          <xdr:colOff>2114550</xdr:colOff>
          <xdr:row>16</xdr:row>
          <xdr:rowOff>9525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352425</xdr:colOff>
          <xdr:row>16</xdr:row>
          <xdr:rowOff>9525</xdr:rowOff>
        </xdr:from>
        <xdr:to>
          <xdr:col>3</xdr:col>
          <xdr:colOff>2114550</xdr:colOff>
          <xdr:row>17</xdr:row>
          <xdr:rowOff>9525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352425</xdr:colOff>
          <xdr:row>17</xdr:row>
          <xdr:rowOff>9525</xdr:rowOff>
        </xdr:from>
        <xdr:to>
          <xdr:col>3</xdr:col>
          <xdr:colOff>2114550</xdr:colOff>
          <xdr:row>18</xdr:row>
          <xdr:rowOff>9525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352425</xdr:colOff>
          <xdr:row>18</xdr:row>
          <xdr:rowOff>9525</xdr:rowOff>
        </xdr:from>
        <xdr:to>
          <xdr:col>3</xdr:col>
          <xdr:colOff>2114550</xdr:colOff>
          <xdr:row>19</xdr:row>
          <xdr:rowOff>9525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352425</xdr:colOff>
          <xdr:row>19</xdr:row>
          <xdr:rowOff>9525</xdr:rowOff>
        </xdr:from>
        <xdr:to>
          <xdr:col>3</xdr:col>
          <xdr:colOff>2114550</xdr:colOff>
          <xdr:row>20</xdr:row>
          <xdr:rowOff>9525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14</xdr:row>
          <xdr:rowOff>0</xdr:rowOff>
        </xdr:from>
        <xdr:to>
          <xdr:col>6</xdr:col>
          <xdr:colOff>9525</xdr:colOff>
          <xdr:row>15</xdr:row>
          <xdr:rowOff>9525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15</xdr:row>
          <xdr:rowOff>0</xdr:rowOff>
        </xdr:from>
        <xdr:to>
          <xdr:col>6</xdr:col>
          <xdr:colOff>9525</xdr:colOff>
          <xdr:row>16</xdr:row>
          <xdr:rowOff>9525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16</xdr:row>
          <xdr:rowOff>0</xdr:rowOff>
        </xdr:from>
        <xdr:to>
          <xdr:col>6</xdr:col>
          <xdr:colOff>9525</xdr:colOff>
          <xdr:row>17</xdr:row>
          <xdr:rowOff>9525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17</xdr:row>
          <xdr:rowOff>0</xdr:rowOff>
        </xdr:from>
        <xdr:to>
          <xdr:col>6</xdr:col>
          <xdr:colOff>9525</xdr:colOff>
          <xdr:row>18</xdr:row>
          <xdr:rowOff>9525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18</xdr:row>
          <xdr:rowOff>0</xdr:rowOff>
        </xdr:from>
        <xdr:to>
          <xdr:col>6</xdr:col>
          <xdr:colOff>9525</xdr:colOff>
          <xdr:row>19</xdr:row>
          <xdr:rowOff>9525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38100</xdr:colOff>
      <xdr:row>11</xdr:row>
      <xdr:rowOff>76200</xdr:rowOff>
    </xdr:from>
    <xdr:to>
      <xdr:col>7</xdr:col>
      <xdr:colOff>1047750</xdr:colOff>
      <xdr:row>13</xdr:row>
      <xdr:rowOff>0</xdr:rowOff>
    </xdr:to>
    <xdr:sp macro="[0]!Day_2_final" textlink="">
      <xdr:nvSpPr>
        <xdr:cNvPr id="2" name="Rectangle 1"/>
        <xdr:cNvSpPr/>
      </xdr:nvSpPr>
      <xdr:spPr>
        <a:xfrm>
          <a:off x="8210550" y="2276475"/>
          <a:ext cx="1009650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 u="sng"/>
            <a:t>Submit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361950</xdr:colOff>
          <xdr:row>11</xdr:row>
          <xdr:rowOff>47625</xdr:rowOff>
        </xdr:from>
        <xdr:to>
          <xdr:col>3</xdr:col>
          <xdr:colOff>2419350</xdr:colOff>
          <xdr:row>12</xdr:row>
          <xdr:rowOff>19050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BF26"/>
  <sheetViews>
    <sheetView showGridLines="0" tabSelected="1" zoomScaleNormal="100" workbookViewId="0">
      <selection activeCell="C3" sqref="C3"/>
    </sheetView>
  </sheetViews>
  <sheetFormatPr defaultRowHeight="15" x14ac:dyDescent="0.25"/>
  <cols>
    <col min="1" max="1" width="9.140625" style="1"/>
    <col min="2" max="2" width="29.28515625" style="1" bestFit="1" customWidth="1"/>
    <col min="3" max="3" width="13.7109375" style="1" bestFit="1" customWidth="1"/>
    <col min="4" max="4" width="39.28515625" style="1" bestFit="1" customWidth="1"/>
    <col min="5" max="5" width="9.140625" style="1"/>
    <col min="6" max="6" width="16" style="1" bestFit="1" customWidth="1"/>
    <col min="7" max="7" width="9.140625" style="1"/>
    <col min="8" max="8" width="16" style="1" bestFit="1" customWidth="1"/>
    <col min="9" max="9" width="21" style="1" customWidth="1"/>
    <col min="10" max="11" width="9.140625" style="1"/>
    <col min="12" max="12" width="36.140625" style="1" bestFit="1" customWidth="1"/>
    <col min="13" max="52" width="9.140625" style="1"/>
    <col min="53" max="53" width="12.42578125" style="1" bestFit="1" customWidth="1"/>
    <col min="54" max="54" width="62.140625" style="1" bestFit="1" customWidth="1"/>
    <col min="55" max="16384" width="9.140625" style="1"/>
  </cols>
  <sheetData>
    <row r="1" spans="2:58" ht="23.25" x14ac:dyDescent="0.35">
      <c r="D1" s="7" t="s">
        <v>28</v>
      </c>
      <c r="E1" s="7"/>
      <c r="F1" s="7"/>
      <c r="BA1" s="1" t="s">
        <v>0</v>
      </c>
      <c r="BB1" s="1" t="s">
        <v>1</v>
      </c>
    </row>
    <row r="2" spans="2:58" x14ac:dyDescent="0.25">
      <c r="BB2" s="1" t="s">
        <v>2</v>
      </c>
      <c r="BE2" s="2" t="s">
        <v>29</v>
      </c>
      <c r="BF2" s="1" t="b">
        <f>AND($C$13&lt;35,$C$13&gt;16,BC10)</f>
        <v>0</v>
      </c>
    </row>
    <row r="3" spans="2:58" x14ac:dyDescent="0.25">
      <c r="B3" s="3" t="s">
        <v>0</v>
      </c>
      <c r="C3" s="4" t="s">
        <v>2</v>
      </c>
      <c r="D3" s="5"/>
      <c r="O3" s="1" t="str">
        <f>$C$3</f>
        <v>Female</v>
      </c>
      <c r="P3" s="1" t="str">
        <f>$C$5</f>
        <v>Married</v>
      </c>
      <c r="Q3" s="1" t="str">
        <f>$C$7</f>
        <v>Graduate</v>
      </c>
      <c r="R3" s="1">
        <f>$C$13</f>
        <v>38</v>
      </c>
      <c r="S3" s="1" t="b">
        <f>$BC$10</f>
        <v>1</v>
      </c>
      <c r="T3" s="1" t="b">
        <f>$BC$11</f>
        <v>1</v>
      </c>
      <c r="U3" s="1" t="b">
        <f>$BC$12</f>
        <v>1</v>
      </c>
      <c r="V3" s="1" t="str">
        <f>$I$10</f>
        <v>BCDF</v>
      </c>
      <c r="BE3" s="2" t="s">
        <v>30</v>
      </c>
      <c r="BF3" s="1" t="b">
        <f>AND($C$13&gt;20,$C$13&lt;40,OR(BB26="B1",BB26="A"))</f>
        <v>1</v>
      </c>
    </row>
    <row r="4" spans="2:58" x14ac:dyDescent="0.25">
      <c r="BA4" s="1" t="s">
        <v>3</v>
      </c>
      <c r="BB4" s="1" t="s">
        <v>6</v>
      </c>
      <c r="BE4" s="2" t="s">
        <v>31</v>
      </c>
      <c r="BF4" s="1" t="b">
        <f>AND($C$13&gt;23, $C$1&lt;45,OR(BB26="A",BB26="B1",BB26="B"),$C$3="Female")</f>
        <v>1</v>
      </c>
    </row>
    <row r="5" spans="2:58" x14ac:dyDescent="0.25">
      <c r="B5" s="3" t="s">
        <v>3</v>
      </c>
      <c r="C5" s="4" t="s">
        <v>7</v>
      </c>
      <c r="D5" s="6"/>
      <c r="L5" s="1" t="s">
        <v>0</v>
      </c>
      <c r="BB5" s="1" t="s">
        <v>7</v>
      </c>
      <c r="BE5" s="2" t="s">
        <v>32</v>
      </c>
      <c r="BF5" s="1" t="b">
        <f>AND($C$3="Female",$C$13&gt;18, OR($BB$26="A",$BB$26="B1",$BB$26="B"),$C$3="Female")</f>
        <v>1</v>
      </c>
    </row>
    <row r="6" spans="2:58" x14ac:dyDescent="0.25">
      <c r="L6" s="1" t="s">
        <v>3</v>
      </c>
      <c r="BE6" s="2" t="s">
        <v>53</v>
      </c>
      <c r="BF6" s="1" t="b">
        <f>AND($C$13&gt;18,$C$13&lt;35,$C$3="Male",OR($BB$26="A",$BB$26="B1",$BB$26="B"))</f>
        <v>0</v>
      </c>
    </row>
    <row r="7" spans="2:58" x14ac:dyDescent="0.25">
      <c r="B7" s="3" t="s">
        <v>4</v>
      </c>
      <c r="C7" s="4" t="s">
        <v>8</v>
      </c>
      <c r="D7" s="6"/>
      <c r="L7" s="1" t="s">
        <v>4</v>
      </c>
      <c r="BA7" s="1" t="s">
        <v>4</v>
      </c>
      <c r="BB7" s="1" t="s">
        <v>8</v>
      </c>
      <c r="BE7" s="9" t="s">
        <v>54</v>
      </c>
      <c r="BF7" s="1" t="b">
        <f>AND($C$13&gt;18,$C$13&lt;35,$C$3="Female",OR($BB$26="A",$BB$26="B1",$BB$26="B"))</f>
        <v>0</v>
      </c>
    </row>
    <row r="8" spans="2:58" x14ac:dyDescent="0.25">
      <c r="L8" s="1" t="s">
        <v>13</v>
      </c>
      <c r="BB8" s="1" t="s">
        <v>9</v>
      </c>
      <c r="BE8" s="2" t="s">
        <v>33</v>
      </c>
      <c r="BF8" s="1" t="b">
        <f>AND($C$3="Female",$C$13&gt;18, OR($BB$26="A",$BB$26="B1",$BB$26="B"),$C$3="Female")</f>
        <v>1</v>
      </c>
    </row>
    <row r="9" spans="2:58" ht="30" x14ac:dyDescent="0.25">
      <c r="B9" s="3" t="s">
        <v>5</v>
      </c>
      <c r="C9" s="4"/>
      <c r="D9" s="8" t="s">
        <v>50</v>
      </c>
      <c r="L9" s="10" t="s">
        <v>55</v>
      </c>
    </row>
    <row r="10" spans="2:58" ht="30" x14ac:dyDescent="0.25">
      <c r="C10" s="4"/>
      <c r="D10" s="8" t="s">
        <v>51</v>
      </c>
      <c r="H10" s="3" t="s">
        <v>27</v>
      </c>
      <c r="I10" s="4" t="str">
        <f>CONCATENATE(IF(Sheet1!$BF$2=TRUE,"A",""),IF(Sheet1!$BF$3=TRUE,"B",""),IF(Sheet1!$BF$4=TRUE,"C",""),IF(Sheet1!$BF$5=TRUE,"D",""),IF(Sheet1!$BF$6=TRUE,"E1",""),IF(Sheet1!$BF$7=TRUE,"E2",""),IF(Sheet1!$BF$8=TRUE,"F",""))</f>
        <v>BCDF</v>
      </c>
      <c r="L10" s="10" t="s">
        <v>51</v>
      </c>
      <c r="BA10" s="1" t="s">
        <v>5</v>
      </c>
      <c r="BB10" s="1" t="s">
        <v>50</v>
      </c>
      <c r="BC10" s="1" t="b">
        <v>1</v>
      </c>
    </row>
    <row r="11" spans="2:58" x14ac:dyDescent="0.25">
      <c r="C11" s="4"/>
      <c r="D11" s="4" t="s">
        <v>52</v>
      </c>
      <c r="L11" s="1" t="s">
        <v>52</v>
      </c>
      <c r="BB11" s="1" t="s">
        <v>51</v>
      </c>
      <c r="BC11" s="1" t="b">
        <v>1</v>
      </c>
    </row>
    <row r="12" spans="2:58" x14ac:dyDescent="0.25">
      <c r="C12" s="4"/>
      <c r="D12" s="4" t="s">
        <v>41</v>
      </c>
      <c r="L12" s="1" t="s">
        <v>41</v>
      </c>
      <c r="BB12" s="1" t="s">
        <v>52</v>
      </c>
      <c r="BC12" s="1" t="b">
        <v>1</v>
      </c>
    </row>
    <row r="13" spans="2:58" x14ac:dyDescent="0.25">
      <c r="B13" s="3" t="s">
        <v>13</v>
      </c>
      <c r="C13" s="4">
        <v>38</v>
      </c>
      <c r="BB13" s="1" t="s">
        <v>41</v>
      </c>
      <c r="BC13" s="1" t="b">
        <v>1</v>
      </c>
    </row>
    <row r="14" spans="2:58" x14ac:dyDescent="0.25">
      <c r="L14" s="1" t="s">
        <v>27</v>
      </c>
      <c r="BA14" s="1" t="s">
        <v>26</v>
      </c>
      <c r="BB14" s="1" t="s">
        <v>15</v>
      </c>
      <c r="BC14" s="1" t="b">
        <v>1</v>
      </c>
    </row>
    <row r="15" spans="2:58" x14ac:dyDescent="0.25">
      <c r="B15" s="3" t="s">
        <v>14</v>
      </c>
      <c r="C15" s="4"/>
      <c r="D15" s="4" t="s">
        <v>15</v>
      </c>
      <c r="E15" s="4"/>
      <c r="F15" s="4" t="s">
        <v>21</v>
      </c>
      <c r="BB15" s="1" t="s">
        <v>16</v>
      </c>
      <c r="BC15" s="1" t="b">
        <v>1</v>
      </c>
    </row>
    <row r="16" spans="2:58" x14ac:dyDescent="0.25">
      <c r="C16" s="4"/>
      <c r="D16" s="4" t="s">
        <v>16</v>
      </c>
      <c r="E16" s="4"/>
      <c r="F16" s="4" t="s">
        <v>22</v>
      </c>
      <c r="BB16" s="1" t="s">
        <v>17</v>
      </c>
      <c r="BC16" s="1" t="b">
        <v>1</v>
      </c>
    </row>
    <row r="17" spans="3:55" x14ac:dyDescent="0.25">
      <c r="C17" s="4"/>
      <c r="D17" s="4" t="s">
        <v>17</v>
      </c>
      <c r="E17" s="4"/>
      <c r="F17" s="4" t="s">
        <v>23</v>
      </c>
      <c r="BB17" s="1" t="s">
        <v>18</v>
      </c>
      <c r="BC17" s="1" t="b">
        <v>1</v>
      </c>
    </row>
    <row r="18" spans="3:55" x14ac:dyDescent="0.25">
      <c r="C18" s="4"/>
      <c r="D18" s="4" t="s">
        <v>18</v>
      </c>
      <c r="E18" s="4"/>
      <c r="F18" s="4" t="s">
        <v>24</v>
      </c>
      <c r="BB18" s="1" t="s">
        <v>19</v>
      </c>
      <c r="BC18" s="1" t="b">
        <v>1</v>
      </c>
    </row>
    <row r="19" spans="3:55" x14ac:dyDescent="0.25">
      <c r="C19" s="4"/>
      <c r="D19" s="4" t="s">
        <v>19</v>
      </c>
      <c r="E19" s="4"/>
      <c r="F19" s="4" t="s">
        <v>25</v>
      </c>
      <c r="BB19" s="1" t="s">
        <v>20</v>
      </c>
      <c r="BC19" s="1" t="b">
        <v>1</v>
      </c>
    </row>
    <row r="20" spans="3:55" x14ac:dyDescent="0.25">
      <c r="C20" s="4"/>
      <c r="D20" s="4" t="s">
        <v>20</v>
      </c>
      <c r="BB20" s="1" t="s">
        <v>21</v>
      </c>
      <c r="BC20" s="1" t="b">
        <v>1</v>
      </c>
    </row>
    <row r="21" spans="3:55" x14ac:dyDescent="0.25">
      <c r="BB21" s="1" t="s">
        <v>22</v>
      </c>
      <c r="BC21" s="1" t="b">
        <v>0</v>
      </c>
    </row>
    <row r="22" spans="3:55" x14ac:dyDescent="0.25">
      <c r="BB22" s="1" t="s">
        <v>23</v>
      </c>
      <c r="BC22" s="1" t="b">
        <v>1</v>
      </c>
    </row>
    <row r="23" spans="3:55" x14ac:dyDescent="0.25">
      <c r="BB23" s="1" t="s">
        <v>24</v>
      </c>
      <c r="BC23" s="1" t="b">
        <v>1</v>
      </c>
    </row>
    <row r="24" spans="3:55" x14ac:dyDescent="0.25">
      <c r="BB24" s="1" t="s">
        <v>25</v>
      </c>
      <c r="BC24" s="1" t="b">
        <v>0</v>
      </c>
    </row>
    <row r="26" spans="3:55" x14ac:dyDescent="0.25">
      <c r="BB26" s="1" t="str">
        <f>IF(AND(C7=BB7,COUNTIF(BC14:BC24,TRUE)&lt;=3),"C",IF(AND(C7=BB7,COUNTIF(BC14:BC24,TRUE)&lt;=5),"B",IF(AND(C7=BB7,COUNTIF(BC14:BC24,TRUE)&lt;=9),"B1",IF(AND(C7=BB8,COUNTIF(BC14:BC24,TRUE)&lt;=4),"C",IF(AND(C7=BB8,COUNTIF(BC14:BC24,TRUE)&lt;=5),"B","A")))))</f>
        <v>B1</v>
      </c>
    </row>
  </sheetData>
  <mergeCells count="1">
    <mergeCell ref="D1:F1"/>
  </mergeCells>
  <dataValidations count="3">
    <dataValidation type="list" allowBlank="1" showInputMessage="1" showErrorMessage="1" sqref="C3">
      <formula1>$BB$1:$BB$2</formula1>
    </dataValidation>
    <dataValidation type="list" allowBlank="1" showInputMessage="1" showErrorMessage="1" sqref="C5">
      <formula1>$BB$4:$BB$5</formula1>
    </dataValidation>
    <dataValidation type="list" allowBlank="1" showInputMessage="1" showErrorMessage="1" sqref="C7">
      <formula1>$BB$7:$BB$8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Check Box 7">
              <controlPr defaultSize="0" autoFill="0" autoLine="0" autoPict="0">
                <anchor moveWithCells="1">
                  <from>
                    <xdr:col>2</xdr:col>
                    <xdr:colOff>352425</xdr:colOff>
                    <xdr:row>8</xdr:row>
                    <xdr:rowOff>9525</xdr:rowOff>
                  </from>
                  <to>
                    <xdr:col>3</xdr:col>
                    <xdr:colOff>2114550</xdr:colOff>
                    <xdr:row>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Check Box 8">
              <controlPr defaultSize="0" autoFill="0" autoLine="0" autoPict="0">
                <anchor moveWithCells="1">
                  <from>
                    <xdr:col>2</xdr:col>
                    <xdr:colOff>352425</xdr:colOff>
                    <xdr:row>9</xdr:row>
                    <xdr:rowOff>0</xdr:rowOff>
                  </from>
                  <to>
                    <xdr:col>3</xdr:col>
                    <xdr:colOff>2038350</xdr:colOff>
                    <xdr:row>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 Box 10">
              <controlPr defaultSize="0" autoFill="0" autoLine="0" autoPict="0">
                <anchor moveWithCells="1">
                  <from>
                    <xdr:col>2</xdr:col>
                    <xdr:colOff>352425</xdr:colOff>
                    <xdr:row>10</xdr:row>
                    <xdr:rowOff>19050</xdr:rowOff>
                  </from>
                  <to>
                    <xdr:col>3</xdr:col>
                    <xdr:colOff>2105025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7" name="Check Box 13">
              <controlPr defaultSize="0" autoFill="0" autoLine="0" autoPict="0">
                <anchor moveWithCells="1">
                  <from>
                    <xdr:col>2</xdr:col>
                    <xdr:colOff>352425</xdr:colOff>
                    <xdr:row>14</xdr:row>
                    <xdr:rowOff>9525</xdr:rowOff>
                  </from>
                  <to>
                    <xdr:col>3</xdr:col>
                    <xdr:colOff>2114550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8" name="Check Box 14">
              <controlPr defaultSize="0" autoFill="0" autoLine="0" autoPict="0">
                <anchor moveWithCells="1">
                  <from>
                    <xdr:col>2</xdr:col>
                    <xdr:colOff>352425</xdr:colOff>
                    <xdr:row>15</xdr:row>
                    <xdr:rowOff>9525</xdr:rowOff>
                  </from>
                  <to>
                    <xdr:col>3</xdr:col>
                    <xdr:colOff>2114550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9" name="Check Box 15">
              <controlPr defaultSize="0" autoFill="0" autoLine="0" autoPict="0">
                <anchor moveWithCells="1">
                  <from>
                    <xdr:col>2</xdr:col>
                    <xdr:colOff>352425</xdr:colOff>
                    <xdr:row>16</xdr:row>
                    <xdr:rowOff>9525</xdr:rowOff>
                  </from>
                  <to>
                    <xdr:col>3</xdr:col>
                    <xdr:colOff>2114550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0" name="Check Box 16">
              <controlPr defaultSize="0" autoFill="0" autoLine="0" autoPict="0">
                <anchor moveWithCells="1">
                  <from>
                    <xdr:col>2</xdr:col>
                    <xdr:colOff>352425</xdr:colOff>
                    <xdr:row>17</xdr:row>
                    <xdr:rowOff>9525</xdr:rowOff>
                  </from>
                  <to>
                    <xdr:col>3</xdr:col>
                    <xdr:colOff>2114550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1" name="Check Box 17">
              <controlPr defaultSize="0" autoFill="0" autoLine="0" autoPict="0">
                <anchor moveWithCells="1">
                  <from>
                    <xdr:col>2</xdr:col>
                    <xdr:colOff>352425</xdr:colOff>
                    <xdr:row>18</xdr:row>
                    <xdr:rowOff>9525</xdr:rowOff>
                  </from>
                  <to>
                    <xdr:col>3</xdr:col>
                    <xdr:colOff>2114550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2" name="Check Box 18">
              <controlPr defaultSize="0" autoFill="0" autoLine="0" autoPict="0">
                <anchor moveWithCells="1">
                  <from>
                    <xdr:col>2</xdr:col>
                    <xdr:colOff>352425</xdr:colOff>
                    <xdr:row>19</xdr:row>
                    <xdr:rowOff>9525</xdr:rowOff>
                  </from>
                  <to>
                    <xdr:col>3</xdr:col>
                    <xdr:colOff>2114550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3" name="Check Box 19">
              <controlPr defaultSize="0" autoFill="0" autoLine="0" autoPict="0">
                <anchor moveWithCells="1">
                  <from>
                    <xdr:col>4</xdr:col>
                    <xdr:colOff>352425</xdr:colOff>
                    <xdr:row>14</xdr:row>
                    <xdr:rowOff>0</xdr:rowOff>
                  </from>
                  <to>
                    <xdr:col>6</xdr:col>
                    <xdr:colOff>9525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4" name="Check Box 20">
              <controlPr defaultSize="0" autoFill="0" autoLine="0" autoPict="0">
                <anchor moveWithCells="1">
                  <from>
                    <xdr:col>4</xdr:col>
                    <xdr:colOff>352425</xdr:colOff>
                    <xdr:row>15</xdr:row>
                    <xdr:rowOff>0</xdr:rowOff>
                  </from>
                  <to>
                    <xdr:col>6</xdr:col>
                    <xdr:colOff>9525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5" name="Check Box 21">
              <controlPr defaultSize="0" autoFill="0" autoLine="0" autoPict="0">
                <anchor moveWithCells="1">
                  <from>
                    <xdr:col>4</xdr:col>
                    <xdr:colOff>352425</xdr:colOff>
                    <xdr:row>16</xdr:row>
                    <xdr:rowOff>0</xdr:rowOff>
                  </from>
                  <to>
                    <xdr:col>6</xdr:col>
                    <xdr:colOff>9525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6" name="Check Box 22">
              <controlPr defaultSize="0" autoFill="0" autoLine="0" autoPict="0">
                <anchor moveWithCells="1">
                  <from>
                    <xdr:col>4</xdr:col>
                    <xdr:colOff>352425</xdr:colOff>
                    <xdr:row>17</xdr:row>
                    <xdr:rowOff>0</xdr:rowOff>
                  </from>
                  <to>
                    <xdr:col>6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7" name="Check Box 23">
              <controlPr defaultSize="0" autoFill="0" autoLine="0" autoPict="0">
                <anchor moveWithCells="1">
                  <from>
                    <xdr:col>4</xdr:col>
                    <xdr:colOff>352425</xdr:colOff>
                    <xdr:row>18</xdr:row>
                    <xdr:rowOff>0</xdr:rowOff>
                  </from>
                  <to>
                    <xdr:col>6</xdr:col>
                    <xdr:colOff>9525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8" name="Check Box 25">
              <controlPr defaultSize="0" autoFill="0" autoLine="0" autoPict="0">
                <anchor moveWithCells="1">
                  <from>
                    <xdr:col>2</xdr:col>
                    <xdr:colOff>361950</xdr:colOff>
                    <xdr:row>11</xdr:row>
                    <xdr:rowOff>47625</xdr:rowOff>
                  </from>
                  <to>
                    <xdr:col>3</xdr:col>
                    <xdr:colOff>2419350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20"/>
  <sheetViews>
    <sheetView workbookViewId="0">
      <selection activeCell="A8" sqref="A8"/>
    </sheetView>
  </sheetViews>
  <sheetFormatPr defaultRowHeight="15" x14ac:dyDescent="0.25"/>
  <cols>
    <col min="2" max="2" width="12.42578125" bestFit="1" customWidth="1"/>
    <col min="3" max="3" width="9.7109375" bestFit="1" customWidth="1"/>
    <col min="4" max="4" width="9.85546875" customWidth="1"/>
    <col min="5" max="5" width="10.28515625" bestFit="1" customWidth="1"/>
    <col min="6" max="6" width="36.140625" bestFit="1" customWidth="1"/>
    <col min="7" max="8" width="23.42578125" bestFit="1" customWidth="1"/>
  </cols>
  <sheetData>
    <row r="1" spans="1:9" x14ac:dyDescent="0.25">
      <c r="A1" t="s">
        <v>42</v>
      </c>
      <c r="B1" s="1" t="s">
        <v>0</v>
      </c>
      <c r="C1" s="1" t="s">
        <v>3</v>
      </c>
      <c r="D1" s="1" t="s">
        <v>4</v>
      </c>
      <c r="E1" s="1" t="s">
        <v>13</v>
      </c>
      <c r="F1" s="1" t="s">
        <v>10</v>
      </c>
      <c r="G1" s="1" t="s">
        <v>11</v>
      </c>
      <c r="H1" s="1" t="s">
        <v>12</v>
      </c>
      <c r="I1" s="1" t="s">
        <v>27</v>
      </c>
    </row>
    <row r="2" spans="1:9" x14ac:dyDescent="0.25">
      <c r="A2">
        <v>29000</v>
      </c>
      <c r="B2" t="s">
        <v>34</v>
      </c>
      <c r="C2" t="s">
        <v>35</v>
      </c>
      <c r="D2" t="s">
        <v>36</v>
      </c>
      <c r="E2">
        <v>24</v>
      </c>
      <c r="F2" t="s">
        <v>37</v>
      </c>
      <c r="G2" t="s">
        <v>38</v>
      </c>
      <c r="H2" t="s">
        <v>39</v>
      </c>
      <c r="I2" t="s">
        <v>40</v>
      </c>
    </row>
    <row r="3" spans="1:9" x14ac:dyDescent="0.25">
      <c r="A3">
        <f>A2+1</f>
        <v>29001</v>
      </c>
      <c r="B3" s="1" t="s">
        <v>1</v>
      </c>
      <c r="C3" s="1" t="s">
        <v>7</v>
      </c>
      <c r="D3" s="1" t="s">
        <v>8</v>
      </c>
      <c r="E3" s="1">
        <v>40</v>
      </c>
      <c r="F3" s="1" t="b">
        <v>1</v>
      </c>
      <c r="G3" s="1" t="b">
        <v>1</v>
      </c>
      <c r="H3" s="1" t="b">
        <v>1</v>
      </c>
      <c r="I3" s="1" t="s">
        <v>48</v>
      </c>
    </row>
    <row r="4" spans="1:9" x14ac:dyDescent="0.25">
      <c r="A4">
        <f>A3+1</f>
        <v>29002</v>
      </c>
      <c r="B4" s="1" t="s">
        <v>1</v>
      </c>
      <c r="C4" s="1" t="s">
        <v>7</v>
      </c>
      <c r="D4" s="1" t="s">
        <v>8</v>
      </c>
      <c r="E4" s="1">
        <v>40</v>
      </c>
      <c r="F4" s="1" t="b">
        <v>1</v>
      </c>
      <c r="G4" s="1" t="b">
        <v>1</v>
      </c>
      <c r="H4" s="1" t="b">
        <v>1</v>
      </c>
      <c r="I4" s="1" t="s">
        <v>48</v>
      </c>
    </row>
    <row r="5" spans="1:9" x14ac:dyDescent="0.25">
      <c r="A5">
        <f>A4+1</f>
        <v>29003</v>
      </c>
      <c r="B5" s="1" t="s">
        <v>1</v>
      </c>
      <c r="C5" s="1" t="s">
        <v>7</v>
      </c>
      <c r="D5" s="1" t="s">
        <v>8</v>
      </c>
      <c r="E5" s="1">
        <v>45</v>
      </c>
      <c r="F5" s="1" t="b">
        <v>1</v>
      </c>
      <c r="G5" s="1" t="b">
        <v>1</v>
      </c>
      <c r="H5" s="1" t="b">
        <v>1</v>
      </c>
      <c r="I5" s="1" t="s">
        <v>44</v>
      </c>
    </row>
    <row r="6" spans="1:9" x14ac:dyDescent="0.25">
      <c r="A6">
        <f>A5+1</f>
        <v>29004</v>
      </c>
      <c r="B6" s="1" t="s">
        <v>2</v>
      </c>
      <c r="C6" s="1" t="s">
        <v>6</v>
      </c>
      <c r="D6" s="1" t="s">
        <v>9</v>
      </c>
      <c r="E6" s="1">
        <v>12</v>
      </c>
      <c r="F6" s="1" t="b">
        <v>1</v>
      </c>
      <c r="G6" s="1" t="b">
        <v>1</v>
      </c>
      <c r="H6" s="1" t="b">
        <v>1</v>
      </c>
      <c r="I6" s="1" t="s">
        <v>45</v>
      </c>
    </row>
    <row r="7" spans="1:9" x14ac:dyDescent="0.25">
      <c r="A7">
        <f>A6+1</f>
        <v>29005</v>
      </c>
      <c r="B7" s="1" t="s">
        <v>2</v>
      </c>
      <c r="C7" s="1" t="s">
        <v>7</v>
      </c>
      <c r="D7" s="1" t="s">
        <v>8</v>
      </c>
      <c r="E7" s="1">
        <v>38</v>
      </c>
      <c r="F7" s="1" t="b">
        <v>1</v>
      </c>
      <c r="G7" s="1" t="b">
        <v>1</v>
      </c>
      <c r="H7" s="1" t="b">
        <v>1</v>
      </c>
      <c r="I7" s="1" t="s">
        <v>49</v>
      </c>
    </row>
    <row r="20" spans="5:12" x14ac:dyDescent="0.25">
      <c r="E20" s="1"/>
      <c r="F20" s="1"/>
      <c r="G20" s="1"/>
      <c r="H20" s="1"/>
      <c r="I20" s="1"/>
      <c r="J20" s="1"/>
      <c r="K20" s="1"/>
      <c r="L20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8"/>
  <sheetViews>
    <sheetView workbookViewId="0">
      <selection activeCell="J3" sqref="J3"/>
    </sheetView>
  </sheetViews>
  <sheetFormatPr defaultRowHeight="15" x14ac:dyDescent="0.25"/>
  <sheetData>
    <row r="1" spans="1:10" x14ac:dyDescent="0.25">
      <c r="A1" t="s">
        <v>2</v>
      </c>
      <c r="B1" t="s">
        <v>7</v>
      </c>
      <c r="C1" t="s">
        <v>8</v>
      </c>
      <c r="D1">
        <v>32</v>
      </c>
      <c r="E1" t="b">
        <v>0</v>
      </c>
      <c r="F1" t="b">
        <v>1</v>
      </c>
      <c r="G1" t="b">
        <v>1</v>
      </c>
      <c r="H1" t="s">
        <v>43</v>
      </c>
    </row>
    <row r="2" spans="1:10" x14ac:dyDescent="0.25">
      <c r="A2" t="s">
        <v>1</v>
      </c>
      <c r="B2" t="s">
        <v>7</v>
      </c>
      <c r="C2" t="s">
        <v>8</v>
      </c>
      <c r="D2">
        <v>37</v>
      </c>
      <c r="E2" t="b">
        <v>1</v>
      </c>
      <c r="F2" t="b">
        <v>1</v>
      </c>
      <c r="G2" t="b">
        <v>1</v>
      </c>
      <c r="H2" t="s">
        <v>44</v>
      </c>
    </row>
    <row r="3" spans="1:10" x14ac:dyDescent="0.25">
      <c r="A3" t="s">
        <v>1</v>
      </c>
      <c r="B3" t="s">
        <v>7</v>
      </c>
      <c r="C3" t="s">
        <v>8</v>
      </c>
      <c r="D3">
        <v>37</v>
      </c>
      <c r="E3" t="b">
        <v>1</v>
      </c>
      <c r="F3" t="b">
        <v>1</v>
      </c>
      <c r="G3" t="b">
        <v>1</v>
      </c>
      <c r="H3" t="s">
        <v>44</v>
      </c>
      <c r="J3" t="s">
        <v>46</v>
      </c>
    </row>
    <row r="4" spans="1:10" x14ac:dyDescent="0.25">
      <c r="A4" t="s">
        <v>2</v>
      </c>
      <c r="B4" t="s">
        <v>6</v>
      </c>
      <c r="C4" t="s">
        <v>8</v>
      </c>
      <c r="D4">
        <v>20</v>
      </c>
      <c r="E4" t="b">
        <v>0</v>
      </c>
      <c r="F4" t="b">
        <v>0</v>
      </c>
      <c r="G4" t="b">
        <v>1</v>
      </c>
      <c r="H4" t="s">
        <v>45</v>
      </c>
    </row>
    <row r="5" spans="1:10" x14ac:dyDescent="0.25">
      <c r="A5" t="s">
        <v>2</v>
      </c>
      <c r="B5" t="s">
        <v>6</v>
      </c>
      <c r="C5" t="s">
        <v>8</v>
      </c>
      <c r="D5">
        <v>20</v>
      </c>
      <c r="E5" t="b">
        <v>0</v>
      </c>
      <c r="F5" t="b">
        <v>0</v>
      </c>
      <c r="G5" t="b">
        <v>1</v>
      </c>
      <c r="H5" t="s">
        <v>45</v>
      </c>
    </row>
    <row r="6" spans="1:10" x14ac:dyDescent="0.25">
      <c r="A6" t="s">
        <v>1</v>
      </c>
      <c r="B6" t="s">
        <v>7</v>
      </c>
      <c r="C6" t="s">
        <v>8</v>
      </c>
      <c r="D6">
        <v>40</v>
      </c>
      <c r="E6" t="b">
        <v>1</v>
      </c>
      <c r="F6" t="b">
        <v>1</v>
      </c>
      <c r="G6" t="b">
        <v>1</v>
      </c>
      <c r="H6" t="s">
        <v>44</v>
      </c>
    </row>
    <row r="7" spans="1:10" x14ac:dyDescent="0.25">
      <c r="A7" t="s">
        <v>1</v>
      </c>
      <c r="B7" t="s">
        <v>7</v>
      </c>
      <c r="C7" t="s">
        <v>8</v>
      </c>
      <c r="D7">
        <v>44</v>
      </c>
      <c r="E7" t="b">
        <v>1</v>
      </c>
      <c r="F7" t="b">
        <v>1</v>
      </c>
      <c r="G7" t="b">
        <v>1</v>
      </c>
      <c r="H7" t="s">
        <v>44</v>
      </c>
    </row>
    <row r="8" spans="1:10" x14ac:dyDescent="0.25">
      <c r="A8" t="s">
        <v>2</v>
      </c>
      <c r="B8" t="s">
        <v>7</v>
      </c>
      <c r="C8" t="s">
        <v>8</v>
      </c>
      <c r="D8">
        <v>46</v>
      </c>
      <c r="E8" t="b">
        <v>0</v>
      </c>
      <c r="F8" t="b">
        <v>0</v>
      </c>
      <c r="G8" t="b">
        <v>1</v>
      </c>
      <c r="H8" t="s">
        <v>24</v>
      </c>
    </row>
    <row r="9" spans="1:10" x14ac:dyDescent="0.25">
      <c r="A9" t="s">
        <v>1</v>
      </c>
      <c r="B9" t="s">
        <v>7</v>
      </c>
      <c r="C9" t="s">
        <v>8</v>
      </c>
      <c r="D9">
        <v>46</v>
      </c>
      <c r="E9" t="b">
        <v>1</v>
      </c>
      <c r="F9" t="b">
        <v>1</v>
      </c>
      <c r="G9" t="b">
        <v>1</v>
      </c>
      <c r="H9" t="s">
        <v>24</v>
      </c>
    </row>
    <row r="10" spans="1:10" x14ac:dyDescent="0.25">
      <c r="A10" t="s">
        <v>2</v>
      </c>
      <c r="B10" t="s">
        <v>6</v>
      </c>
      <c r="C10" t="s">
        <v>8</v>
      </c>
      <c r="D10">
        <v>24</v>
      </c>
      <c r="E10" t="b">
        <v>0</v>
      </c>
      <c r="F10" t="b">
        <v>1</v>
      </c>
      <c r="G10" t="b">
        <v>1</v>
      </c>
      <c r="H10" t="s">
        <v>45</v>
      </c>
    </row>
    <row r="11" spans="1:10" x14ac:dyDescent="0.25">
      <c r="A11" t="s">
        <v>2</v>
      </c>
      <c r="B11" t="s">
        <v>6</v>
      </c>
      <c r="C11" t="s">
        <v>8</v>
      </c>
      <c r="D11">
        <v>24</v>
      </c>
      <c r="E11" t="b">
        <v>0</v>
      </c>
      <c r="F11" t="b">
        <v>1</v>
      </c>
      <c r="G11" t="b">
        <v>1</v>
      </c>
      <c r="H11" t="s">
        <v>45</v>
      </c>
    </row>
    <row r="12" spans="1:10" x14ac:dyDescent="0.25">
      <c r="A12" t="s">
        <v>2</v>
      </c>
      <c r="B12" t="s">
        <v>6</v>
      </c>
      <c r="C12" t="s">
        <v>8</v>
      </c>
      <c r="D12">
        <v>23</v>
      </c>
      <c r="E12" t="b">
        <v>0</v>
      </c>
      <c r="F12" t="b">
        <v>1</v>
      </c>
      <c r="G12" t="b">
        <v>1</v>
      </c>
      <c r="H12" t="s">
        <v>45</v>
      </c>
    </row>
    <row r="13" spans="1:10" x14ac:dyDescent="0.25">
      <c r="A13" t="s">
        <v>2</v>
      </c>
      <c r="B13" t="s">
        <v>7</v>
      </c>
      <c r="C13" t="s">
        <v>8</v>
      </c>
      <c r="D13">
        <v>30</v>
      </c>
      <c r="E13" t="b">
        <v>0</v>
      </c>
      <c r="F13" t="b">
        <v>1</v>
      </c>
      <c r="G13" t="b">
        <v>1</v>
      </c>
      <c r="H13" t="s">
        <v>43</v>
      </c>
    </row>
    <row r="14" spans="1:10" x14ac:dyDescent="0.25">
      <c r="A14" t="s">
        <v>2</v>
      </c>
      <c r="B14" t="s">
        <v>7</v>
      </c>
      <c r="C14" t="s">
        <v>8</v>
      </c>
      <c r="D14">
        <v>30</v>
      </c>
      <c r="E14" t="b">
        <v>0</v>
      </c>
      <c r="F14" t="b">
        <v>1</v>
      </c>
      <c r="G14" t="b">
        <v>1</v>
      </c>
      <c r="H14" t="s">
        <v>43</v>
      </c>
    </row>
    <row r="15" spans="1:10" x14ac:dyDescent="0.25">
      <c r="A15" t="s">
        <v>1</v>
      </c>
      <c r="B15" t="s">
        <v>7</v>
      </c>
      <c r="C15" t="s">
        <v>8</v>
      </c>
      <c r="D15">
        <v>38</v>
      </c>
      <c r="E15" t="b">
        <v>1</v>
      </c>
      <c r="F15" t="b">
        <v>1</v>
      </c>
      <c r="G15" t="b">
        <v>1</v>
      </c>
      <c r="H15" t="s">
        <v>44</v>
      </c>
    </row>
    <row r="16" spans="1:10" x14ac:dyDescent="0.25">
      <c r="A16" t="s">
        <v>1</v>
      </c>
      <c r="B16" t="s">
        <v>7</v>
      </c>
      <c r="C16" t="s">
        <v>8</v>
      </c>
      <c r="D16">
        <v>38</v>
      </c>
      <c r="E16" t="b">
        <v>1</v>
      </c>
      <c r="F16" t="b">
        <v>1</v>
      </c>
      <c r="G16" t="b">
        <v>1</v>
      </c>
      <c r="H16" t="s">
        <v>44</v>
      </c>
    </row>
    <row r="17" spans="1:8" x14ac:dyDescent="0.25">
      <c r="A17" t="s">
        <v>2</v>
      </c>
      <c r="B17" t="s">
        <v>7</v>
      </c>
      <c r="C17" t="s">
        <v>8</v>
      </c>
      <c r="D17">
        <v>27</v>
      </c>
      <c r="E17" t="b">
        <v>1</v>
      </c>
      <c r="F17" t="b">
        <v>0</v>
      </c>
      <c r="G17" t="b">
        <v>1</v>
      </c>
      <c r="H17" t="s">
        <v>47</v>
      </c>
    </row>
    <row r="18" spans="1:8" x14ac:dyDescent="0.25">
      <c r="A18" t="s">
        <v>1</v>
      </c>
      <c r="B18" t="s">
        <v>7</v>
      </c>
      <c r="C18" t="s">
        <v>8</v>
      </c>
      <c r="D18">
        <v>40</v>
      </c>
      <c r="E18" t="b">
        <v>1</v>
      </c>
      <c r="F18" t="b">
        <v>1</v>
      </c>
      <c r="G18" t="b">
        <v>1</v>
      </c>
      <c r="H18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xlri cc</dc:creator>
  <cp:lastModifiedBy>Admin</cp:lastModifiedBy>
  <dcterms:created xsi:type="dcterms:W3CDTF">2018-01-06T13:10:26Z</dcterms:created>
  <dcterms:modified xsi:type="dcterms:W3CDTF">2019-01-11T09:19:49Z</dcterms:modified>
</cp:coreProperties>
</file>